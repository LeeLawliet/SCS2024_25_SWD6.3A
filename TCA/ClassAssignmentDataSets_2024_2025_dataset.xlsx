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692C3902-73F3-4281-86BE-9F5B542DC70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Set 1" sheetId="1" r:id="rId1"/>
    <sheet name="Data Set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" i="2" l="1"/>
  <c r="K3" i="2" s="1"/>
  <c r="K2" i="2"/>
  <c r="K1" i="2"/>
  <c r="B45" i="2"/>
  <c r="C45" i="2" s="1"/>
  <c r="G51" i="2"/>
  <c r="G50" i="2"/>
  <c r="G48" i="2"/>
  <c r="G47" i="2"/>
  <c r="G46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E51" i="2"/>
  <c r="E50" i="2"/>
  <c r="E49" i="2"/>
  <c r="E48" i="2"/>
  <c r="E47" i="2"/>
  <c r="E46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36" i="2"/>
  <c r="D22" i="2"/>
  <c r="D21" i="2"/>
  <c r="D5" i="2"/>
  <c r="B3" i="2"/>
  <c r="D3" i="2" s="1"/>
  <c r="B4" i="2"/>
  <c r="C4" i="2" s="1"/>
  <c r="B5" i="2"/>
  <c r="C5" i="2" s="1"/>
  <c r="F5" i="2" s="1"/>
  <c r="B6" i="2"/>
  <c r="D6" i="2" s="1"/>
  <c r="B7" i="2"/>
  <c r="D7" i="2" s="1"/>
  <c r="B8" i="2"/>
  <c r="D8" i="2" s="1"/>
  <c r="B9" i="2"/>
  <c r="D9" i="2" s="1"/>
  <c r="B10" i="2"/>
  <c r="D10" i="2" s="1"/>
  <c r="B11" i="2"/>
  <c r="D11" i="2" s="1"/>
  <c r="B12" i="2"/>
  <c r="D12" i="2" s="1"/>
  <c r="B13" i="2"/>
  <c r="D13" i="2" s="1"/>
  <c r="B14" i="2"/>
  <c r="D14" i="2" s="1"/>
  <c r="B15" i="2"/>
  <c r="D15" i="2" s="1"/>
  <c r="B16" i="2"/>
  <c r="D16" i="2" s="1"/>
  <c r="B17" i="2"/>
  <c r="D17" i="2" s="1"/>
  <c r="B18" i="2"/>
  <c r="D18" i="2" s="1"/>
  <c r="B19" i="2"/>
  <c r="D19" i="2" s="1"/>
  <c r="B20" i="2"/>
  <c r="C20" i="2" s="1"/>
  <c r="B21" i="2"/>
  <c r="C21" i="2" s="1"/>
  <c r="F21" i="2" s="1"/>
  <c r="B22" i="2"/>
  <c r="C22" i="2" s="1"/>
  <c r="F22" i="2" s="1"/>
  <c r="B23" i="2"/>
  <c r="C23" i="2" s="1"/>
  <c r="F23" i="2" s="1"/>
  <c r="B24" i="2"/>
  <c r="D24" i="2" s="1"/>
  <c r="B25" i="2"/>
  <c r="D25" i="2" s="1"/>
  <c r="B26" i="2"/>
  <c r="D26" i="2" s="1"/>
  <c r="B27" i="2"/>
  <c r="D27" i="2" s="1"/>
  <c r="B28" i="2"/>
  <c r="C28" i="2" s="1"/>
  <c r="B29" i="2"/>
  <c r="C29" i="2" s="1"/>
  <c r="B30" i="2"/>
  <c r="C30" i="2" s="1"/>
  <c r="B31" i="2"/>
  <c r="C31" i="2" s="1"/>
  <c r="F31" i="2" s="1"/>
  <c r="B32" i="2"/>
  <c r="D32" i="2" s="1"/>
  <c r="B33" i="2"/>
  <c r="D33" i="2" s="1"/>
  <c r="B34" i="2"/>
  <c r="D34" i="2" s="1"/>
  <c r="B35" i="2"/>
  <c r="D35" i="2" s="1"/>
  <c r="B36" i="2"/>
  <c r="C36" i="2" s="1"/>
  <c r="B37" i="2"/>
  <c r="C37" i="2" s="1"/>
  <c r="F37" i="2" s="1"/>
  <c r="B38" i="2"/>
  <c r="D38" i="2" s="1"/>
  <c r="B39" i="2"/>
  <c r="D39" i="2" s="1"/>
  <c r="B40" i="2"/>
  <c r="D40" i="2" s="1"/>
  <c r="B41" i="2"/>
  <c r="C41" i="2" s="1"/>
  <c r="B42" i="2"/>
  <c r="D42" i="2" s="1"/>
  <c r="B43" i="2"/>
  <c r="D43" i="2" s="1"/>
  <c r="B44" i="2"/>
  <c r="D44" i="2" s="1"/>
  <c r="B46" i="2"/>
  <c r="D46" i="2" s="1"/>
  <c r="B47" i="2"/>
  <c r="D47" i="2" s="1"/>
  <c r="B48" i="2"/>
  <c r="D48" i="2" s="1"/>
  <c r="B49" i="2"/>
  <c r="D49" i="2" s="1"/>
  <c r="B50" i="2"/>
  <c r="D50" i="2" s="1"/>
  <c r="B51" i="2"/>
  <c r="D51" i="2" s="1"/>
  <c r="B2" i="2"/>
  <c r="D2" i="2" s="1"/>
  <c r="D2" i="1" a="1"/>
  <c r="D2" i="1" s="1"/>
  <c r="E45" i="2" l="1"/>
  <c r="D23" i="2"/>
  <c r="D37" i="2"/>
  <c r="C6" i="2"/>
  <c r="F6" i="2" s="1"/>
  <c r="C7" i="2"/>
  <c r="F7" i="2" s="1"/>
  <c r="C38" i="2"/>
  <c r="F38" i="2" s="1"/>
  <c r="C39" i="2"/>
  <c r="F39" i="2" s="1"/>
  <c r="D4" i="2"/>
  <c r="F30" i="2"/>
  <c r="F29" i="2"/>
  <c r="F28" i="2"/>
  <c r="C44" i="2"/>
  <c r="F44" i="2" s="1"/>
  <c r="D28" i="2"/>
  <c r="C46" i="2"/>
  <c r="F46" i="2" s="1"/>
  <c r="D29" i="2"/>
  <c r="C12" i="2"/>
  <c r="C47" i="2"/>
  <c r="D30" i="2"/>
  <c r="C13" i="2"/>
  <c r="C48" i="2"/>
  <c r="F48" i="2" s="1"/>
  <c r="D31" i="2"/>
  <c r="C14" i="2"/>
  <c r="C15" i="2"/>
  <c r="F15" i="2" s="1"/>
  <c r="C2" i="2"/>
  <c r="D20" i="2"/>
  <c r="F41" i="2"/>
  <c r="F36" i="2"/>
  <c r="F20" i="2"/>
  <c r="F4" i="2"/>
  <c r="C8" i="2"/>
  <c r="C24" i="2"/>
  <c r="C40" i="2"/>
  <c r="C9" i="2"/>
  <c r="C25" i="2"/>
  <c r="C10" i="2"/>
  <c r="C26" i="2"/>
  <c r="C42" i="2"/>
  <c r="D41" i="2"/>
  <c r="C27" i="2"/>
  <c r="F47" i="2"/>
  <c r="C16" i="2"/>
  <c r="C32" i="2"/>
  <c r="C49" i="2"/>
  <c r="C17" i="2"/>
  <c r="C33" i="2"/>
  <c r="C50" i="2"/>
  <c r="C11" i="2"/>
  <c r="C43" i="2"/>
  <c r="C18" i="2"/>
  <c r="C34" i="2"/>
  <c r="C51" i="2"/>
  <c r="C3" i="2"/>
  <c r="C19" i="2"/>
  <c r="C35" i="2"/>
  <c r="D45" i="2"/>
  <c r="F45" i="2"/>
  <c r="G45" i="2" s="1"/>
  <c r="F13" i="2" l="1"/>
  <c r="F12" i="2"/>
  <c r="F2" i="2"/>
  <c r="F14" i="2"/>
  <c r="F33" i="2"/>
  <c r="F9" i="2"/>
  <c r="F35" i="2"/>
  <c r="F17" i="2"/>
  <c r="F19" i="2"/>
  <c r="F49" i="2"/>
  <c r="F3" i="2"/>
  <c r="F32" i="2"/>
  <c r="F40" i="2"/>
  <c r="F51" i="2"/>
  <c r="F16" i="2"/>
  <c r="F24" i="2"/>
  <c r="F34" i="2"/>
  <c r="F8" i="2"/>
  <c r="F18" i="2"/>
  <c r="F43" i="2"/>
  <c r="F27" i="2"/>
  <c r="F11" i="2"/>
  <c r="F42" i="2"/>
  <c r="F26" i="2"/>
  <c r="F10" i="2"/>
  <c r="F50" i="2"/>
  <c r="F25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<sst xmlns="http://schemas.openxmlformats.org/spreadsheetml/2006/main" count="12" uniqueCount="12">
  <si>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Y</t>
  </si>
  <si>
    <t>X</t>
  </si>
  <si>
    <t>Data Set 2</t>
  </si>
  <si>
    <t>Cumulative</t>
  </si>
  <si>
    <t>Expected</t>
  </si>
  <si>
    <t>(RANK-1)/N</t>
  </si>
  <si>
    <t>NORM.S.INV</t>
  </si>
  <si>
    <t>Actual</t>
  </si>
  <si>
    <t>Difference</t>
  </si>
  <si>
    <t>Mean</t>
  </si>
  <si>
    <t>Std.Dev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</si>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</sst>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Set 1'!$D$2:$D$6</c:f>
              <c:numCache>
                <c:formatCode>General</c:formatCode>
                <c:ptCount val="5"/>
                <c:pt idx="0">
                  <c:v>-0.38755278837872675</c:v>
                </c:pt>
                <c:pt idx="1">
                  <c:v>1.1754175917800659E-2</c:v>
                </c:pt>
                <c:pt idx="2">
                  <c:v>0.91730792987475085</c:v>
                </c:pt>
                <c:pt idx="3">
                  <c:v>1087.1196838048045</c:v>
                </c:pt>
                <c:pt idx="4">
                  <c:v>664.44486730760138</c:v>
                </c:pt>
              </c:numCache>
            </c:numRef>
          </c:xVal>
          <c:yVal>
            <c:numRef>
              <c:f>'Data Set 1'!$E$2:$E$6</c:f>
              <c:numCache>
                <c:formatCode>General</c:formatCode>
                <c:ptCount val="5"/>
                <c:pt idx="0">
                  <c:v>6.9230170295960631</c:v>
                </c:pt>
                <c:pt idx="1">
                  <c:v>0.24068719875208894</c:v>
                </c:pt>
                <c:pt idx="2">
                  <c:v>0.78179123275420792</c:v>
                </c:pt>
                <c:pt idx="3">
                  <c:v>98</c:v>
                </c:pt>
                <c:pt idx="4">
                  <c:v>59.897358097911713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BA-4FCA-A6B3-C6DE64076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7208783"/>
        <c:axId val="917205903"/>
      </c:scatterChart>
      <c:valAx>
        <c:axId val="917208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  <c:crossAx val="917205903"/>
        <c:crosses val="autoZero"/>
        <c:crossBetween val="midCat"/>
      </c:valAx>
      <c:valAx>
        <c:axId val="91720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  <c:crossAx val="917208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92C34A-9F2B-F706-9841-FB65C2847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workbookViewId="0">
      <selection activeCell="J2" sqref="J2"/>
    </sheetView>
  </sheetViews>
  <sheetFormatPr defaultRowHeight="14.4" x14ac:dyDescent="0.3"/>
  <sheetData>
    <row r="1" spans="1:5" x14ac:dyDescent="0.3">
      <c r="A1" t="s">
        <v>1</v>
      </c>
      <c r="B1" t="s">
        <v>0</v>
      </c>
    </row>
    <row r="2" spans="1:5" x14ac:dyDescent="0.3">
      <c r="A2">
        <v>-0.1227843693022046</v>
      </c>
      <c r="B2">
        <v>17.345658503623113</v>
      </c>
      <c r="D2" cm="1">
        <f t="array" ref="D2:E6">LINEST(A2:A101, B2:B101, TRUE, TRUE)</f>
        <v>-0.38755278837872675</v>
      </c>
      <c r="E2">
        <v>6.9230170295960631</v>
      </c>
    </row>
    <row r="3" spans="1:5" x14ac:dyDescent="0.3">
      <c r="A3">
        <v>-2.4584845769893038</v>
      </c>
      <c r="B3">
        <v>24.357155461620049</v>
      </c>
      <c r="D3">
        <v>1.1754175917800659E-2</v>
      </c>
      <c r="E3">
        <v>0.24068719875208894</v>
      </c>
    </row>
    <row r="4" spans="1:5" x14ac:dyDescent="0.3">
      <c r="A4">
        <v>-2.8254720143546543</v>
      </c>
      <c r="B4">
        <v>24.471046155814857</v>
      </c>
      <c r="D4">
        <v>0.91730792987475085</v>
      </c>
      <c r="E4">
        <v>0.78179123275420792</v>
      </c>
    </row>
    <row r="5" spans="1:5" x14ac:dyDescent="0.3">
      <c r="A5">
        <v>4.6829513576995287</v>
      </c>
      <c r="B5">
        <v>9.6609460438027792</v>
      </c>
      <c r="D5">
        <v>1087.1196838048045</v>
      </c>
      <c r="E5">
        <v>98</v>
      </c>
    </row>
    <row r="6" spans="1:5" x14ac:dyDescent="0.3">
      <c r="A6">
        <v>-2.3749909893151564</v>
      </c>
      <c r="B6">
        <v>23.849854937966299</v>
      </c>
      <c r="D6">
        <v>664.44486730760138</v>
      </c>
      <c r="E6">
        <v>59.897358097911713</v>
      </c>
    </row>
    <row r="7" spans="1:5" x14ac:dyDescent="0.3">
      <c r="A7">
        <v>-0.67394950196639325</v>
      </c>
      <c r="B7">
        <v>17.999318764364844</v>
      </c>
    </row>
    <row r="8" spans="1:5" x14ac:dyDescent="0.3">
      <c r="A8">
        <v>-3.7106978294277142</v>
      </c>
      <c r="B8">
        <v>26.927333915818057</v>
      </c>
    </row>
    <row r="9" spans="1:5" x14ac:dyDescent="0.3">
      <c r="A9">
        <v>-2.6321680508037151</v>
      </c>
      <c r="B9">
        <v>23.67430082940778</v>
      </c>
    </row>
    <row r="10" spans="1:5" x14ac:dyDescent="0.3">
      <c r="A10">
        <v>0.17416247870562351</v>
      </c>
      <c r="B10">
        <v>16.192599045512615</v>
      </c>
    </row>
    <row r="11" spans="1:5" x14ac:dyDescent="0.3">
      <c r="A11">
        <v>-3.4381397902625475</v>
      </c>
      <c r="B11">
        <v>25.730626544182755</v>
      </c>
    </row>
    <row r="12" spans="1:5" x14ac:dyDescent="0.3">
      <c r="A12">
        <v>-1.8260955766077887</v>
      </c>
      <c r="B12">
        <v>23.378070400299297</v>
      </c>
    </row>
    <row r="13" spans="1:5" x14ac:dyDescent="0.3">
      <c r="A13">
        <v>-0.34603106306613229</v>
      </c>
      <c r="B13">
        <v>17.541927077809454</v>
      </c>
    </row>
    <row r="14" spans="1:5" x14ac:dyDescent="0.3">
      <c r="A14">
        <v>-1.2710002399340707</v>
      </c>
      <c r="B14">
        <v>21.500073475431162</v>
      </c>
    </row>
    <row r="15" spans="1:5" x14ac:dyDescent="0.3">
      <c r="A15">
        <v>-0.52322252921354329</v>
      </c>
      <c r="B15">
        <v>20.420730757476655</v>
      </c>
    </row>
    <row r="16" spans="1:5" x14ac:dyDescent="0.3">
      <c r="A16">
        <v>-3.3347559618516804</v>
      </c>
      <c r="B16">
        <v>25.396086343332382</v>
      </c>
    </row>
    <row r="17" spans="1:2" x14ac:dyDescent="0.3">
      <c r="A17">
        <v>-1.3111829885173223</v>
      </c>
      <c r="B17">
        <v>22.283921785103175</v>
      </c>
    </row>
    <row r="18" spans="1:2" x14ac:dyDescent="0.3">
      <c r="A18">
        <v>-0.85360423774935645</v>
      </c>
      <c r="B18">
        <v>20.782620639802591</v>
      </c>
    </row>
    <row r="19" spans="1:2" x14ac:dyDescent="0.3">
      <c r="A19">
        <v>-1.4427054559915691</v>
      </c>
      <c r="B19">
        <v>20.820592369906819</v>
      </c>
    </row>
    <row r="20" spans="1:2" x14ac:dyDescent="0.3">
      <c r="A20">
        <v>1.6901845552690764</v>
      </c>
      <c r="B20">
        <v>16.572940215413794</v>
      </c>
    </row>
    <row r="21" spans="1:2" x14ac:dyDescent="0.3">
      <c r="A21">
        <v>-1.8621470106237936E-2</v>
      </c>
      <c r="B21">
        <v>19.841487479905965</v>
      </c>
    </row>
    <row r="22" spans="1:2" x14ac:dyDescent="0.3">
      <c r="A22">
        <v>-3.0486247684379997</v>
      </c>
      <c r="B22">
        <v>25.835768336532126</v>
      </c>
    </row>
    <row r="23" spans="1:2" x14ac:dyDescent="0.3">
      <c r="A23">
        <v>-2.3849383589957842</v>
      </c>
      <c r="B23">
        <v>23.782568821338955</v>
      </c>
    </row>
    <row r="24" spans="1:2" x14ac:dyDescent="0.3">
      <c r="A24">
        <v>-3.3893705977138517</v>
      </c>
      <c r="B24">
        <v>25.802922261307128</v>
      </c>
    </row>
    <row r="25" spans="1:2" x14ac:dyDescent="0.3">
      <c r="A25">
        <v>1.2502034460268243</v>
      </c>
      <c r="B25">
        <v>12.399278615619703</v>
      </c>
    </row>
    <row r="26" spans="1:2" x14ac:dyDescent="0.3">
      <c r="A26">
        <v>-1.5286050872826946</v>
      </c>
      <c r="B26">
        <v>22.836794724088723</v>
      </c>
    </row>
    <row r="27" spans="1:2" x14ac:dyDescent="0.3">
      <c r="A27">
        <v>3.1320904011440733</v>
      </c>
      <c r="B27">
        <v>8.9936052495968326</v>
      </c>
    </row>
    <row r="28" spans="1:2" x14ac:dyDescent="0.3">
      <c r="A28">
        <v>0.98245804755271227</v>
      </c>
      <c r="B28">
        <v>13.464267164922859</v>
      </c>
    </row>
    <row r="29" spans="1:2" x14ac:dyDescent="0.3">
      <c r="A29">
        <v>-2.906778136439812</v>
      </c>
      <c r="B29">
        <v>24.914426569612971</v>
      </c>
    </row>
    <row r="30" spans="1:2" x14ac:dyDescent="0.3">
      <c r="A30">
        <v>-2.9681761272959406E-3</v>
      </c>
      <c r="B30">
        <v>16.311304756660444</v>
      </c>
    </row>
    <row r="31" spans="1:2" x14ac:dyDescent="0.3">
      <c r="A31">
        <v>-2.5132944571102085</v>
      </c>
      <c r="B31">
        <v>24.548371651994209</v>
      </c>
    </row>
    <row r="32" spans="1:2" x14ac:dyDescent="0.3">
      <c r="A32">
        <v>-2.3418934972354934</v>
      </c>
      <c r="B32">
        <v>23.219085013657551</v>
      </c>
    </row>
    <row r="33" spans="1:2" x14ac:dyDescent="0.3">
      <c r="A33">
        <v>-0.33241996428212817</v>
      </c>
      <c r="B33">
        <v>20.399344689232024</v>
      </c>
    </row>
    <row r="34" spans="1:2" x14ac:dyDescent="0.3">
      <c r="A34">
        <v>-0.18631448625277036</v>
      </c>
      <c r="B34">
        <v>21.236836554277158</v>
      </c>
    </row>
    <row r="35" spans="1:2" x14ac:dyDescent="0.3">
      <c r="A35">
        <v>-1.8670760874291252</v>
      </c>
      <c r="B35">
        <v>23.018915314034366</v>
      </c>
    </row>
    <row r="36" spans="1:2" x14ac:dyDescent="0.3">
      <c r="A36">
        <v>-3.3394577587932486</v>
      </c>
      <c r="B36">
        <v>25.970382309748313</v>
      </c>
    </row>
    <row r="37" spans="1:2" x14ac:dyDescent="0.3">
      <c r="A37">
        <v>0.96317407255805687</v>
      </c>
      <c r="B37">
        <v>13.947323328560362</v>
      </c>
    </row>
    <row r="38" spans="1:2" x14ac:dyDescent="0.3">
      <c r="A38">
        <v>-3.3254553398208655</v>
      </c>
      <c r="B38">
        <v>26.563994243496026</v>
      </c>
    </row>
    <row r="39" spans="1:2" x14ac:dyDescent="0.3">
      <c r="A39">
        <v>5.888603674862293</v>
      </c>
      <c r="B39">
        <v>6.7192779396381104</v>
      </c>
    </row>
    <row r="40" spans="1:2" x14ac:dyDescent="0.3">
      <c r="A40">
        <v>-3.5817399904208962</v>
      </c>
      <c r="B40">
        <v>26.131439758591767</v>
      </c>
    </row>
    <row r="41" spans="1:2" x14ac:dyDescent="0.3">
      <c r="A41">
        <v>-2.9869330176777824</v>
      </c>
      <c r="B41">
        <v>24.642078581741227</v>
      </c>
    </row>
    <row r="42" spans="1:2" x14ac:dyDescent="0.3">
      <c r="A42">
        <v>-2.2797761718165979</v>
      </c>
      <c r="B42">
        <v>23.73762380727436</v>
      </c>
    </row>
    <row r="43" spans="1:2" x14ac:dyDescent="0.3">
      <c r="A43">
        <v>-2.6512131837396238</v>
      </c>
      <c r="B43">
        <v>24.146486079104282</v>
      </c>
    </row>
    <row r="44" spans="1:2" x14ac:dyDescent="0.3">
      <c r="A44">
        <v>-1.071628109133818</v>
      </c>
      <c r="B44">
        <v>19.278940441754749</v>
      </c>
    </row>
    <row r="45" spans="1:2" x14ac:dyDescent="0.3">
      <c r="A45">
        <v>-3.639931676314597</v>
      </c>
      <c r="B45">
        <v>26.356304436633966</v>
      </c>
    </row>
    <row r="46" spans="1:2" x14ac:dyDescent="0.3">
      <c r="A46">
        <v>-1.690612792419234</v>
      </c>
      <c r="B46">
        <v>22.693896668368758</v>
      </c>
    </row>
    <row r="47" spans="1:2" x14ac:dyDescent="0.3">
      <c r="A47">
        <v>3.9548975385975185</v>
      </c>
      <c r="B47">
        <v>9.7323181771468512</v>
      </c>
    </row>
    <row r="48" spans="1:2" x14ac:dyDescent="0.3">
      <c r="A48">
        <v>-0.84639703661249444</v>
      </c>
      <c r="B48">
        <v>22.098017919858368</v>
      </c>
    </row>
    <row r="49" spans="1:2" x14ac:dyDescent="0.3">
      <c r="A49">
        <v>3.4714115064560005</v>
      </c>
      <c r="B49">
        <v>11.467951560505558</v>
      </c>
    </row>
    <row r="50" spans="1:2" x14ac:dyDescent="0.3">
      <c r="A50">
        <v>-3.7146510830823454</v>
      </c>
      <c r="B50">
        <v>27.342838339711108</v>
      </c>
    </row>
    <row r="51" spans="1:2" x14ac:dyDescent="0.3">
      <c r="A51">
        <v>1.185290762697174</v>
      </c>
      <c r="B51">
        <v>17.438383924784812</v>
      </c>
    </row>
    <row r="52" spans="1:2" x14ac:dyDescent="0.3">
      <c r="A52">
        <v>-0.52328787429641643</v>
      </c>
      <c r="B52">
        <v>19.208445822966311</v>
      </c>
    </row>
    <row r="53" spans="1:2" x14ac:dyDescent="0.3">
      <c r="A53">
        <v>-2.1454866083343775</v>
      </c>
      <c r="B53">
        <v>22.707364582283343</v>
      </c>
    </row>
    <row r="54" spans="1:2" x14ac:dyDescent="0.3">
      <c r="A54">
        <v>-3.6208521052638805</v>
      </c>
      <c r="B54">
        <v>26.414578827906524</v>
      </c>
    </row>
    <row r="55" spans="1:2" x14ac:dyDescent="0.3">
      <c r="A55">
        <v>4.2843106699718563</v>
      </c>
      <c r="B55">
        <v>10.771871689847842</v>
      </c>
    </row>
    <row r="56" spans="1:2" x14ac:dyDescent="0.3">
      <c r="A56">
        <v>-3.5435715584137504</v>
      </c>
      <c r="B56">
        <v>26.479249472174246</v>
      </c>
    </row>
    <row r="57" spans="1:2" x14ac:dyDescent="0.3">
      <c r="A57">
        <v>-1.9878973752065776</v>
      </c>
      <c r="B57">
        <v>22.047954478099758</v>
      </c>
    </row>
    <row r="58" spans="1:2" x14ac:dyDescent="0.3">
      <c r="A58">
        <v>-3.2913389861238622</v>
      </c>
      <c r="B58">
        <v>25.978701857122537</v>
      </c>
    </row>
    <row r="59" spans="1:2" x14ac:dyDescent="0.3">
      <c r="A59">
        <v>2.0573272387401333</v>
      </c>
      <c r="B59">
        <v>13.304130280964783</v>
      </c>
    </row>
    <row r="60" spans="1:2" x14ac:dyDescent="0.3">
      <c r="A60">
        <v>-2.8527529026333438</v>
      </c>
      <c r="B60">
        <v>25.587683738602017</v>
      </c>
    </row>
    <row r="61" spans="1:2" x14ac:dyDescent="0.3">
      <c r="A61">
        <v>0.60330186562793742</v>
      </c>
      <c r="B61">
        <v>16.452074260222286</v>
      </c>
    </row>
    <row r="62" spans="1:2" x14ac:dyDescent="0.3">
      <c r="A62">
        <v>6.0970408215948586</v>
      </c>
      <c r="B62">
        <v>0.45439307474024604</v>
      </c>
    </row>
    <row r="63" spans="1:2" x14ac:dyDescent="0.3">
      <c r="A63">
        <v>-3.3713961080833923</v>
      </c>
      <c r="B63">
        <v>26.450495876828953</v>
      </c>
    </row>
    <row r="64" spans="1:2" x14ac:dyDescent="0.3">
      <c r="A64">
        <v>-2.8530895010262594</v>
      </c>
      <c r="B64">
        <v>24.062385839914992</v>
      </c>
    </row>
    <row r="65" spans="1:2" x14ac:dyDescent="0.3">
      <c r="A65">
        <v>-1.6323764186732879</v>
      </c>
      <c r="B65">
        <v>21.894236619139413</v>
      </c>
    </row>
    <row r="66" spans="1:2" x14ac:dyDescent="0.3">
      <c r="A66">
        <v>-3.1619461827803654</v>
      </c>
      <c r="B66">
        <v>25.855877239855772</v>
      </c>
    </row>
    <row r="67" spans="1:2" x14ac:dyDescent="0.3">
      <c r="A67">
        <v>1.9307564680496663</v>
      </c>
      <c r="B67">
        <v>19.514088765128673</v>
      </c>
    </row>
    <row r="68" spans="1:2" x14ac:dyDescent="0.3">
      <c r="A68">
        <v>5.2950457814852898</v>
      </c>
      <c r="B68">
        <v>6.283277917184356</v>
      </c>
    </row>
    <row r="69" spans="1:2" x14ac:dyDescent="0.3">
      <c r="A69">
        <v>0.85613144132870467</v>
      </c>
      <c r="B69">
        <v>16.708923359857408</v>
      </c>
    </row>
    <row r="70" spans="1:2" x14ac:dyDescent="0.3">
      <c r="A70">
        <v>8.5777676700201422E-2</v>
      </c>
      <c r="B70">
        <v>17.830274132727528</v>
      </c>
    </row>
    <row r="71" spans="1:2" x14ac:dyDescent="0.3">
      <c r="A71">
        <v>-2.4589854991414755</v>
      </c>
      <c r="B71">
        <v>22.939275218494409</v>
      </c>
    </row>
    <row r="72" spans="1:2" x14ac:dyDescent="0.3">
      <c r="A72">
        <v>-0.57226246309930362</v>
      </c>
      <c r="B72">
        <v>19.856640540773533</v>
      </c>
    </row>
    <row r="73" spans="1:2" x14ac:dyDescent="0.3">
      <c r="A73">
        <v>-2.4638783855042483</v>
      </c>
      <c r="B73">
        <v>23.879057886530216</v>
      </c>
    </row>
    <row r="74" spans="1:2" x14ac:dyDescent="0.3">
      <c r="A74">
        <v>-0.98142820439835887</v>
      </c>
      <c r="B74">
        <v>21.832234480541572</v>
      </c>
    </row>
    <row r="75" spans="1:2" x14ac:dyDescent="0.3">
      <c r="A75">
        <v>0.78213485226638024</v>
      </c>
      <c r="B75">
        <v>11.337440873916513</v>
      </c>
    </row>
    <row r="76" spans="1:2" x14ac:dyDescent="0.3">
      <c r="A76">
        <v>2.3972178755278257</v>
      </c>
      <c r="B76">
        <v>5.7370699983411884</v>
      </c>
    </row>
    <row r="77" spans="1:2" x14ac:dyDescent="0.3">
      <c r="A77">
        <v>-0.57114715408364258</v>
      </c>
      <c r="B77">
        <v>20.80143226367619</v>
      </c>
    </row>
    <row r="78" spans="1:2" x14ac:dyDescent="0.3">
      <c r="A78">
        <v>-0.59892234501390451</v>
      </c>
      <c r="B78">
        <v>18.545566732229066</v>
      </c>
    </row>
    <row r="79" spans="1:2" x14ac:dyDescent="0.3">
      <c r="A79">
        <v>1.8803689694202319</v>
      </c>
      <c r="B79">
        <v>8.5304932602466881</v>
      </c>
    </row>
    <row r="80" spans="1:2" x14ac:dyDescent="0.3">
      <c r="A80">
        <v>-3.1277415447375234</v>
      </c>
      <c r="B80">
        <v>25.811762667017554</v>
      </c>
    </row>
    <row r="81" spans="1:2" x14ac:dyDescent="0.3">
      <c r="A81">
        <v>-1.6076671946365577</v>
      </c>
      <c r="B81">
        <v>21.709986154538012</v>
      </c>
    </row>
    <row r="82" spans="1:2" x14ac:dyDescent="0.3">
      <c r="A82">
        <v>-2.9419316125721933</v>
      </c>
      <c r="B82">
        <v>25.23678370175563</v>
      </c>
    </row>
    <row r="83" spans="1:2" x14ac:dyDescent="0.3">
      <c r="A83">
        <v>-2.7869596053087493</v>
      </c>
      <c r="B83">
        <v>25.4976984880375</v>
      </c>
    </row>
    <row r="84" spans="1:2" x14ac:dyDescent="0.3">
      <c r="A84">
        <v>7.0920203823736303</v>
      </c>
      <c r="B84">
        <v>-0.87791898193704321</v>
      </c>
    </row>
    <row r="85" spans="1:2" x14ac:dyDescent="0.3">
      <c r="A85">
        <v>0.24470792229638061</v>
      </c>
      <c r="B85">
        <v>19.247830265052063</v>
      </c>
    </row>
    <row r="86" spans="1:2" x14ac:dyDescent="0.3">
      <c r="A86">
        <v>5.582957027372907</v>
      </c>
      <c r="B86">
        <v>5.2610800935423541</v>
      </c>
    </row>
    <row r="87" spans="1:2" x14ac:dyDescent="0.3">
      <c r="A87">
        <v>4.228017260064699</v>
      </c>
      <c r="B87">
        <v>6.9681057345041992</v>
      </c>
    </row>
    <row r="88" spans="1:2" x14ac:dyDescent="0.3">
      <c r="A88">
        <v>2.1562794362673428</v>
      </c>
      <c r="B88">
        <v>4.5753234870816808</v>
      </c>
    </row>
    <row r="89" spans="1:2" x14ac:dyDescent="0.3">
      <c r="A89">
        <v>-3.7892489030473744</v>
      </c>
      <c r="B89">
        <v>27.281222142987644</v>
      </c>
    </row>
    <row r="90" spans="1:2" x14ac:dyDescent="0.3">
      <c r="A90">
        <v>4.3270073833996383</v>
      </c>
      <c r="B90">
        <v>11.886113382772759</v>
      </c>
    </row>
    <row r="91" spans="1:2" x14ac:dyDescent="0.3">
      <c r="A91">
        <v>-1.5795677227394815</v>
      </c>
      <c r="B91">
        <v>20.318344076643243</v>
      </c>
    </row>
    <row r="92" spans="1:2" x14ac:dyDescent="0.3">
      <c r="A92">
        <v>-1.2191680077038716</v>
      </c>
      <c r="B92">
        <v>19.130842639102219</v>
      </c>
    </row>
    <row r="93" spans="1:2" x14ac:dyDescent="0.3">
      <c r="A93">
        <v>1.2024592502568394</v>
      </c>
      <c r="B93">
        <v>15.47777189228024</v>
      </c>
    </row>
    <row r="94" spans="1:2" x14ac:dyDescent="0.3">
      <c r="A94">
        <v>-1.9363148899429783</v>
      </c>
      <c r="B94">
        <v>22.777411257596057</v>
      </c>
    </row>
    <row r="95" spans="1:2" x14ac:dyDescent="0.3">
      <c r="A95">
        <v>0.87912717933370566</v>
      </c>
      <c r="B95">
        <v>13.123268033992634</v>
      </c>
    </row>
    <row r="96" spans="1:2" x14ac:dyDescent="0.3">
      <c r="A96">
        <v>-0.37452850706929031</v>
      </c>
      <c r="B96">
        <v>18.684220446541627</v>
      </c>
    </row>
    <row r="97" spans="1:2" x14ac:dyDescent="0.3">
      <c r="A97">
        <v>5.4529037463174896</v>
      </c>
      <c r="B97">
        <v>8.423226452666988</v>
      </c>
    </row>
    <row r="98" spans="1:2" x14ac:dyDescent="0.3">
      <c r="A98">
        <v>-3.7765421526723042</v>
      </c>
      <c r="B98">
        <v>27.092459761415412</v>
      </c>
    </row>
    <row r="99" spans="1:2" x14ac:dyDescent="0.3">
      <c r="A99">
        <v>-3.7455499483492991</v>
      </c>
      <c r="B99">
        <v>26.836307458916274</v>
      </c>
    </row>
    <row r="100" spans="1:2" x14ac:dyDescent="0.3">
      <c r="A100">
        <v>1.2902607928881515</v>
      </c>
      <c r="B100">
        <v>14.201593569828656</v>
      </c>
    </row>
    <row r="101" spans="1:2" x14ac:dyDescent="0.3">
      <c r="A101">
        <v>-2.0405219744446246</v>
      </c>
      <c r="B101">
        <v>22.736502406349928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B71FB-43F6-4DFB-969D-A50BFAE87272}">
  <dimension ref="A1:K51"/>
  <sheetViews>
    <sheetView tabSelected="1" workbookViewId="0">
      <selection activeCell="J14" sqref="J14"/>
    </sheetView>
  </sheetViews>
  <sheetFormatPr defaultRowHeight="14.4" x14ac:dyDescent="0.3"/>
  <cols>
    <col min="2" max="2" width="10.109375" bestFit="1" customWidth="1"/>
  </cols>
  <sheetData>
    <row r="1" spans="1:11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J1" s="1" t="s">
        <v>9</v>
      </c>
      <c r="K1">
        <f>AVERAGE(A2,A51)</f>
        <v>-5.8351322407055477</v>
      </c>
    </row>
    <row r="2" spans="1:11" x14ac:dyDescent="0.3">
      <c r="A2">
        <v>-6.270700000000005</v>
      </c>
      <c r="B2">
        <f>ROW()-1</f>
        <v>1</v>
      </c>
      <c r="C2">
        <f>B2/COUNT(A2:A21)</f>
        <v>0.05</v>
      </c>
      <c r="D2">
        <f>(B2-1)/COUNT(A2:A51)</f>
        <v>0</v>
      </c>
      <c r="E2">
        <f>IF(C2&lt;1, _xlfn.NORM.S.INV(C2), "")</f>
        <v>-1.6448536269514726</v>
      </c>
      <c r="F2">
        <f>_xlfn.NORM.DIST(C2, 0, 3.162, TRUE)</f>
        <v>0.50630812231990074</v>
      </c>
      <c r="G2">
        <f>ABS(F2-D2)</f>
        <v>0.50630812231990074</v>
      </c>
      <c r="J2" s="1" t="s">
        <v>10</v>
      </c>
      <c r="K2">
        <f>_xlfn.STDEV.S(A2:A51)</f>
        <v>3.31013427111289</v>
      </c>
    </row>
    <row r="3" spans="1:11" x14ac:dyDescent="0.3">
      <c r="A3">
        <v>-5.0857148719954495</v>
      </c>
      <c r="B3">
        <f t="shared" ref="B3:B51" si="0">ROW()-1</f>
        <v>2</v>
      </c>
      <c r="C3">
        <f t="shared" ref="C3:C51" si="1">B3/COUNT(A3:A22)</f>
        <v>0.1</v>
      </c>
      <c r="D3">
        <f t="shared" ref="D3:D51" si="2">(B3-1)/COUNT(A3:A52)</f>
        <v>2.0408163265306121E-2</v>
      </c>
      <c r="E3">
        <f t="shared" ref="E3:E51" si="3">IF(C3&lt;1, _xlfn.NORM.S.INV(C3), "")</f>
        <v>-1.2815515655446006</v>
      </c>
      <c r="F3">
        <f t="shared" ref="F3:F51" si="4">_xlfn.NORM.DIST(C3, 0, 3.162, TRUE)</f>
        <v>0.5126146675622858</v>
      </c>
      <c r="G3">
        <f t="shared" ref="G3:G51" si="5">ABS(F3-D3)</f>
        <v>0.49220650429697965</v>
      </c>
      <c r="J3" s="1" t="s">
        <v>11</v>
      </c>
      <c r="K3">
        <f>MAX(G2:G51)</f>
        <v>48</v>
      </c>
    </row>
    <row r="4" spans="1:11" x14ac:dyDescent="0.3">
      <c r="A4">
        <v>-0.75500869872486476</v>
      </c>
      <c r="B4">
        <f t="shared" si="0"/>
        <v>3</v>
      </c>
      <c r="C4">
        <f t="shared" si="1"/>
        <v>0.15</v>
      </c>
      <c r="D4">
        <f t="shared" si="2"/>
        <v>4.1666666666666664E-2</v>
      </c>
      <c r="E4">
        <f t="shared" si="3"/>
        <v>-1.0364333894937898</v>
      </c>
      <c r="F4">
        <f t="shared" si="4"/>
        <v>0.51891805983238426</v>
      </c>
      <c r="G4">
        <f t="shared" si="5"/>
        <v>0.47725139316571757</v>
      </c>
    </row>
    <row r="5" spans="1:11" x14ac:dyDescent="0.3">
      <c r="A5">
        <v>-2.6458806056086246</v>
      </c>
      <c r="B5">
        <f t="shared" si="0"/>
        <v>4</v>
      </c>
      <c r="C5">
        <f t="shared" si="1"/>
        <v>0.2</v>
      </c>
      <c r="D5">
        <f t="shared" si="2"/>
        <v>6.3829787234042548E-2</v>
      </c>
      <c r="E5">
        <f t="shared" si="3"/>
        <v>-0.84162123357291452</v>
      </c>
      <c r="F5">
        <f t="shared" si="4"/>
        <v>0.52521672559943644</v>
      </c>
      <c r="G5">
        <f t="shared" si="5"/>
        <v>0.46138693836539391</v>
      </c>
    </row>
    <row r="6" spans="1:11" x14ac:dyDescent="0.3">
      <c r="A6">
        <v>1.0440240343109082</v>
      </c>
      <c r="B6">
        <f t="shared" si="0"/>
        <v>5</v>
      </c>
      <c r="C6">
        <f t="shared" si="1"/>
        <v>0.25</v>
      </c>
      <c r="D6">
        <f t="shared" si="2"/>
        <v>8.6956521739130432E-2</v>
      </c>
      <c r="E6">
        <f t="shared" si="3"/>
        <v>-0.67448975019608193</v>
      </c>
      <c r="F6">
        <f t="shared" si="4"/>
        <v>0.53150909487500675</v>
      </c>
      <c r="G6">
        <f t="shared" si="5"/>
        <v>0.44455257313587632</v>
      </c>
    </row>
    <row r="7" spans="1:11" x14ac:dyDescent="0.3">
      <c r="A7">
        <v>-1.7775305836909325</v>
      </c>
      <c r="B7">
        <f t="shared" si="0"/>
        <v>6</v>
      </c>
      <c r="C7">
        <f t="shared" si="1"/>
        <v>0.3</v>
      </c>
      <c r="D7">
        <f t="shared" si="2"/>
        <v>0.1111111111111111</v>
      </c>
      <c r="E7">
        <f t="shared" si="3"/>
        <v>-0.52440051270804089</v>
      </c>
      <c r="F7">
        <f t="shared" si="4"/>
        <v>0.53779360238687191</v>
      </c>
      <c r="G7">
        <f t="shared" si="5"/>
        <v>0.4266824912757608</v>
      </c>
    </row>
    <row r="8" spans="1:11" x14ac:dyDescent="0.3">
      <c r="A8">
        <v>-0.49581167385969138</v>
      </c>
      <c r="B8">
        <f t="shared" si="0"/>
        <v>7</v>
      </c>
      <c r="C8">
        <f t="shared" si="1"/>
        <v>0.35</v>
      </c>
      <c r="D8">
        <f t="shared" si="2"/>
        <v>0.13636363636363635</v>
      </c>
      <c r="E8">
        <f t="shared" si="3"/>
        <v>-0.38532046640756784</v>
      </c>
      <c r="F8">
        <f t="shared" si="4"/>
        <v>0.54406868874702186</v>
      </c>
      <c r="G8">
        <f t="shared" si="5"/>
        <v>0.4077050523833855</v>
      </c>
    </row>
    <row r="9" spans="1:11" x14ac:dyDescent="0.3">
      <c r="A9">
        <v>0.67704465345239839</v>
      </c>
      <c r="B9">
        <f t="shared" si="0"/>
        <v>8</v>
      </c>
      <c r="C9">
        <f t="shared" si="1"/>
        <v>0.4</v>
      </c>
      <c r="D9">
        <f t="shared" si="2"/>
        <v>0.16279069767441862</v>
      </c>
      <c r="E9">
        <f t="shared" si="3"/>
        <v>-0.25334710313579978</v>
      </c>
      <c r="F9">
        <f t="shared" si="4"/>
        <v>0.55033280161232223</v>
      </c>
      <c r="G9">
        <f t="shared" si="5"/>
        <v>0.38754210393790361</v>
      </c>
    </row>
    <row r="10" spans="1:11" x14ac:dyDescent="0.3">
      <c r="A10">
        <v>-1.1156747524710227</v>
      </c>
      <c r="B10">
        <f t="shared" si="0"/>
        <v>9</v>
      </c>
      <c r="C10">
        <f t="shared" si="1"/>
        <v>0.45</v>
      </c>
      <c r="D10">
        <f t="shared" si="2"/>
        <v>0.19047619047619047</v>
      </c>
      <c r="E10">
        <f t="shared" si="3"/>
        <v>-0.12566134685507402</v>
      </c>
      <c r="F10">
        <f t="shared" si="4"/>
        <v>0.55658439683639604</v>
      </c>
      <c r="G10">
        <f t="shared" si="5"/>
        <v>0.36610820636020558</v>
      </c>
    </row>
    <row r="11" spans="1:11" x14ac:dyDescent="0.3">
      <c r="A11">
        <v>0.63079906158222343</v>
      </c>
      <c r="B11">
        <f t="shared" si="0"/>
        <v>10</v>
      </c>
      <c r="C11">
        <f t="shared" si="1"/>
        <v>0.5</v>
      </c>
      <c r="D11">
        <f t="shared" si="2"/>
        <v>0.21951219512195122</v>
      </c>
      <c r="E11">
        <f t="shared" si="3"/>
        <v>0</v>
      </c>
      <c r="F11">
        <f t="shared" si="4"/>
        <v>0.56282193961130322</v>
      </c>
      <c r="G11">
        <f t="shared" si="5"/>
        <v>0.34330974448935203</v>
      </c>
    </row>
    <row r="12" spans="1:11" x14ac:dyDescent="0.3">
      <c r="A12">
        <v>1.4866901200735896</v>
      </c>
      <c r="B12">
        <f t="shared" si="0"/>
        <v>11</v>
      </c>
      <c r="C12">
        <f t="shared" si="1"/>
        <v>0.55000000000000004</v>
      </c>
      <c r="D12">
        <f t="shared" si="2"/>
        <v>0.25</v>
      </c>
      <c r="E12">
        <f t="shared" si="3"/>
        <v>0.12566134685507416</v>
      </c>
      <c r="F12">
        <f t="shared" si="4"/>
        <v>0.56904390559760931</v>
      </c>
      <c r="G12">
        <f t="shared" si="5"/>
        <v>0.31904390559760931</v>
      </c>
    </row>
    <row r="13" spans="1:11" x14ac:dyDescent="0.3">
      <c r="A13">
        <v>0.6702692629200584</v>
      </c>
      <c r="B13">
        <f t="shared" si="0"/>
        <v>12</v>
      </c>
      <c r="C13">
        <f t="shared" si="1"/>
        <v>0.6</v>
      </c>
      <c r="D13">
        <f t="shared" si="2"/>
        <v>0.28205128205128205</v>
      </c>
      <c r="E13">
        <f t="shared" si="3"/>
        <v>0.25334710313579978</v>
      </c>
      <c r="F13">
        <f t="shared" si="4"/>
        <v>0.57524878204145857</v>
      </c>
      <c r="G13">
        <f t="shared" si="5"/>
        <v>0.29319749999017652</v>
      </c>
    </row>
    <row r="14" spans="1:11" x14ac:dyDescent="0.3">
      <c r="A14">
        <v>0.95864602738220128</v>
      </c>
      <c r="B14">
        <f t="shared" si="0"/>
        <v>13</v>
      </c>
      <c r="C14">
        <f t="shared" si="1"/>
        <v>0.65</v>
      </c>
      <c r="D14">
        <f t="shared" si="2"/>
        <v>0.31578947368421051</v>
      </c>
      <c r="E14">
        <f t="shared" si="3"/>
        <v>0.38532046640756784</v>
      </c>
      <c r="F14">
        <f t="shared" si="4"/>
        <v>0.5814350688772858</v>
      </c>
      <c r="G14">
        <f t="shared" si="5"/>
        <v>0.26564559519307529</v>
      </c>
    </row>
    <row r="15" spans="1:11" x14ac:dyDescent="0.3">
      <c r="A15">
        <v>5.2589322638862228</v>
      </c>
      <c r="B15">
        <f t="shared" si="0"/>
        <v>14</v>
      </c>
      <c r="C15">
        <f t="shared" si="1"/>
        <v>0.7</v>
      </c>
      <c r="D15">
        <f t="shared" si="2"/>
        <v>0.35135135135135137</v>
      </c>
      <c r="E15">
        <f t="shared" si="3"/>
        <v>0.52440051270804078</v>
      </c>
      <c r="F15">
        <f t="shared" si="4"/>
        <v>0.58760127981483024</v>
      </c>
      <c r="G15">
        <f t="shared" si="5"/>
        <v>0.23624992846347886</v>
      </c>
    </row>
    <row r="16" spans="1:11" x14ac:dyDescent="0.3">
      <c r="A16">
        <v>2.527318627494239</v>
      </c>
      <c r="B16">
        <f t="shared" si="0"/>
        <v>15</v>
      </c>
      <c r="C16">
        <f t="shared" si="1"/>
        <v>0.75</v>
      </c>
      <c r="D16">
        <f t="shared" si="2"/>
        <v>0.3888888888888889</v>
      </c>
      <c r="E16">
        <f t="shared" si="3"/>
        <v>0.67448975019608193</v>
      </c>
      <c r="F16">
        <f t="shared" si="4"/>
        <v>0.59374594340913867</v>
      </c>
      <c r="G16">
        <f t="shared" si="5"/>
        <v>0.20485705452024977</v>
      </c>
    </row>
    <row r="17" spans="1:7" x14ac:dyDescent="0.3">
      <c r="A17">
        <v>3.4835535041414687</v>
      </c>
      <c r="B17">
        <f t="shared" si="0"/>
        <v>16</v>
      </c>
      <c r="C17">
        <f t="shared" si="1"/>
        <v>0.8</v>
      </c>
      <c r="D17">
        <f t="shared" si="2"/>
        <v>0.42857142857142855</v>
      </c>
      <c r="E17">
        <f t="shared" si="3"/>
        <v>0.84162123357291474</v>
      </c>
      <c r="F17">
        <f t="shared" si="4"/>
        <v>0.59986760411227513</v>
      </c>
      <c r="G17">
        <f t="shared" si="5"/>
        <v>0.17129617554084658</v>
      </c>
    </row>
    <row r="18" spans="1:7" x14ac:dyDescent="0.3">
      <c r="A18">
        <v>0.54578442885750178</v>
      </c>
      <c r="B18">
        <f t="shared" si="0"/>
        <v>17</v>
      </c>
      <c r="C18">
        <f t="shared" si="1"/>
        <v>0.85</v>
      </c>
      <c r="D18">
        <f t="shared" si="2"/>
        <v>0.47058823529411764</v>
      </c>
      <c r="E18">
        <f t="shared" si="3"/>
        <v>1.0364333894937898</v>
      </c>
      <c r="F18">
        <f t="shared" si="4"/>
        <v>0.60596482330548773</v>
      </c>
      <c r="G18">
        <f t="shared" si="5"/>
        <v>0.13537658801137009</v>
      </c>
    </row>
    <row r="19" spans="1:7" x14ac:dyDescent="0.3">
      <c r="A19">
        <v>0.35698648539278111</v>
      </c>
      <c r="B19">
        <f t="shared" si="0"/>
        <v>18</v>
      </c>
      <c r="C19">
        <f t="shared" si="1"/>
        <v>0.9</v>
      </c>
      <c r="D19">
        <f t="shared" si="2"/>
        <v>0.51515151515151514</v>
      </c>
      <c r="E19">
        <f t="shared" si="3"/>
        <v>1.2815515655446006</v>
      </c>
      <c r="F19">
        <f t="shared" si="4"/>
        <v>0.61203618031061491</v>
      </c>
      <c r="G19">
        <f t="shared" si="5"/>
        <v>9.688466515909977E-2</v>
      </c>
    </row>
    <row r="20" spans="1:7" x14ac:dyDescent="0.3">
      <c r="A20">
        <v>-2.5343822564590823</v>
      </c>
      <c r="B20">
        <f t="shared" si="0"/>
        <v>19</v>
      </c>
      <c r="C20">
        <f t="shared" si="1"/>
        <v>0.95</v>
      </c>
      <c r="D20">
        <f t="shared" si="2"/>
        <v>0.5625</v>
      </c>
      <c r="E20">
        <f t="shared" si="3"/>
        <v>1.6448536269514715</v>
      </c>
      <c r="F20">
        <f t="shared" si="4"/>
        <v>0.61808027337954885</v>
      </c>
      <c r="G20">
        <f t="shared" si="5"/>
        <v>5.558027337954885E-2</v>
      </c>
    </row>
    <row r="21" spans="1:7" x14ac:dyDescent="0.3">
      <c r="A21">
        <v>-3.761001995818134</v>
      </c>
      <c r="B21">
        <f t="shared" si="0"/>
        <v>20</v>
      </c>
      <c r="C21">
        <f t="shared" si="1"/>
        <v>1</v>
      </c>
      <c r="D21">
        <f t="shared" si="2"/>
        <v>0.61290322580645162</v>
      </c>
      <c r="E21" t="str">
        <f t="shared" si="3"/>
        <v/>
      </c>
      <c r="F21">
        <f t="shared" si="4"/>
        <v>0.62409572066061403</v>
      </c>
      <c r="G21">
        <f t="shared" si="5"/>
        <v>1.1192494854162405E-2</v>
      </c>
    </row>
    <row r="22" spans="1:7" x14ac:dyDescent="0.3">
      <c r="A22">
        <v>-2.8545961647441231</v>
      </c>
      <c r="B22">
        <f t="shared" si="0"/>
        <v>21</v>
      </c>
      <c r="C22">
        <f t="shared" si="1"/>
        <v>1.05</v>
      </c>
      <c r="D22">
        <f t="shared" si="2"/>
        <v>0.66666666666666663</v>
      </c>
      <c r="E22" t="str">
        <f t="shared" si="3"/>
        <v/>
      </c>
      <c r="F22">
        <f t="shared" si="4"/>
        <v>0.63008116114075496</v>
      </c>
      <c r="G22">
        <f t="shared" si="5"/>
        <v>3.6585505525911666E-2</v>
      </c>
    </row>
    <row r="23" spans="1:7" x14ac:dyDescent="0.3">
      <c r="A23">
        <v>-3.4175247514214391</v>
      </c>
      <c r="B23">
        <f t="shared" si="0"/>
        <v>22</v>
      </c>
      <c r="C23">
        <f t="shared" si="1"/>
        <v>1.1000000000000001</v>
      </c>
      <c r="D23">
        <f t="shared" si="2"/>
        <v>0.72413793103448276</v>
      </c>
      <c r="E23" t="str">
        <f t="shared" si="3"/>
        <v/>
      </c>
      <c r="F23">
        <f t="shared" si="4"/>
        <v>0.63603525556247043</v>
      </c>
      <c r="G23">
        <f t="shared" si="5"/>
        <v>8.8102675472012337E-2</v>
      </c>
    </row>
    <row r="24" spans="1:7" x14ac:dyDescent="0.3">
      <c r="A24">
        <v>-4.158711719402902</v>
      </c>
      <c r="B24">
        <f t="shared" si="0"/>
        <v>23</v>
      </c>
      <c r="C24">
        <f t="shared" si="1"/>
        <v>1.1499999999999999</v>
      </c>
      <c r="D24">
        <f t="shared" si="2"/>
        <v>0.7857142857142857</v>
      </c>
      <c r="E24" t="str">
        <f t="shared" si="3"/>
        <v/>
      </c>
      <c r="F24">
        <f t="shared" si="4"/>
        <v>0.64195668731447375</v>
      </c>
      <c r="G24">
        <f t="shared" si="5"/>
        <v>0.14375759839981195</v>
      </c>
    </row>
    <row r="25" spans="1:7" x14ac:dyDescent="0.3">
      <c r="A25">
        <v>-2.97756843740612</v>
      </c>
      <c r="B25">
        <f t="shared" si="0"/>
        <v>24</v>
      </c>
      <c r="C25">
        <f t="shared" si="1"/>
        <v>1.2</v>
      </c>
      <c r="D25">
        <f t="shared" si="2"/>
        <v>0.85185185185185186</v>
      </c>
      <c r="E25" t="str">
        <f t="shared" si="3"/>
        <v/>
      </c>
      <c r="F25">
        <f t="shared" si="4"/>
        <v>0.64784416329510242</v>
      </c>
      <c r="G25">
        <f t="shared" si="5"/>
        <v>0.20400768855674944</v>
      </c>
    </row>
    <row r="26" spans="1:7" x14ac:dyDescent="0.3">
      <c r="A26">
        <v>-0.37444914250488637</v>
      </c>
      <c r="B26">
        <f t="shared" si="0"/>
        <v>25</v>
      </c>
      <c r="C26">
        <f t="shared" si="1"/>
        <v>1.25</v>
      </c>
      <c r="D26">
        <f t="shared" si="2"/>
        <v>0.92307692307692313</v>
      </c>
      <c r="E26" t="str">
        <f t="shared" si="3"/>
        <v/>
      </c>
      <c r="F26">
        <f t="shared" si="4"/>
        <v>0.65369641474754747</v>
      </c>
      <c r="G26">
        <f t="shared" si="5"/>
        <v>0.26938050832937566</v>
      </c>
    </row>
    <row r="27" spans="1:7" x14ac:dyDescent="0.3">
      <c r="A27">
        <v>1.1358607398185256</v>
      </c>
      <c r="B27">
        <f t="shared" si="0"/>
        <v>26</v>
      </c>
      <c r="C27">
        <f t="shared" si="1"/>
        <v>1.3</v>
      </c>
      <c r="D27">
        <f t="shared" si="2"/>
        <v>1</v>
      </c>
      <c r="E27" t="str">
        <f t="shared" si="3"/>
        <v/>
      </c>
      <c r="F27">
        <f t="shared" si="4"/>
        <v>0.65951219806602068</v>
      </c>
      <c r="G27">
        <f t="shared" si="5"/>
        <v>0.34048780193397932</v>
      </c>
    </row>
    <row r="28" spans="1:7" x14ac:dyDescent="0.3">
      <c r="A28">
        <v>3.584238297011126</v>
      </c>
      <c r="B28">
        <f t="shared" si="0"/>
        <v>27</v>
      </c>
      <c r="C28">
        <f t="shared" si="1"/>
        <v>1.35</v>
      </c>
      <c r="D28">
        <f t="shared" si="2"/>
        <v>1.0833333333333333</v>
      </c>
      <c r="E28" t="str">
        <f t="shared" si="3"/>
        <v/>
      </c>
      <c r="F28">
        <f t="shared" si="4"/>
        <v>0.66529029557202191</v>
      </c>
      <c r="G28">
        <f t="shared" si="5"/>
        <v>0.41804303776131135</v>
      </c>
    </row>
    <row r="29" spans="1:7" x14ac:dyDescent="0.3">
      <c r="A29">
        <v>3.6578849633856549</v>
      </c>
      <c r="B29">
        <f t="shared" si="0"/>
        <v>28</v>
      </c>
      <c r="C29">
        <f t="shared" si="1"/>
        <v>1.4</v>
      </c>
      <c r="D29">
        <f t="shared" si="2"/>
        <v>1.173913043478261</v>
      </c>
      <c r="E29" t="str">
        <f t="shared" si="3"/>
        <v/>
      </c>
      <c r="F29">
        <f t="shared" si="4"/>
        <v>0.6710295162599258</v>
      </c>
      <c r="G29">
        <f t="shared" si="5"/>
        <v>0.50288352721833518</v>
      </c>
    </row>
    <row r="30" spans="1:7" x14ac:dyDescent="0.3">
      <c r="A30">
        <v>3.7010873435864227</v>
      </c>
      <c r="B30">
        <f t="shared" si="0"/>
        <v>29</v>
      </c>
      <c r="C30">
        <f t="shared" si="1"/>
        <v>1.45</v>
      </c>
      <c r="D30">
        <f t="shared" si="2"/>
        <v>1.2727272727272727</v>
      </c>
      <c r="E30" t="str">
        <f t="shared" si="3"/>
        <v/>
      </c>
      <c r="F30">
        <f t="shared" si="4"/>
        <v>0.6767286965111512</v>
      </c>
      <c r="G30">
        <f t="shared" si="5"/>
        <v>0.59599857621612151</v>
      </c>
    </row>
    <row r="31" spans="1:7" x14ac:dyDescent="0.3">
      <c r="A31">
        <v>4.5441554321719195</v>
      </c>
      <c r="B31">
        <f t="shared" si="0"/>
        <v>30</v>
      </c>
      <c r="C31">
        <f t="shared" si="1"/>
        <v>1.5</v>
      </c>
      <c r="D31">
        <f t="shared" si="2"/>
        <v>1.3809523809523809</v>
      </c>
      <c r="E31" t="str">
        <f t="shared" si="3"/>
        <v/>
      </c>
      <c r="F31">
        <f t="shared" si="4"/>
        <v>0.68238670077623198</v>
      </c>
      <c r="G31">
        <f t="shared" si="5"/>
        <v>0.69856568017614895</v>
      </c>
    </row>
    <row r="32" spans="1:7" x14ac:dyDescent="0.3">
      <c r="A32">
        <v>5.7763477652796524</v>
      </c>
      <c r="B32">
        <f t="shared" si="0"/>
        <v>31</v>
      </c>
      <c r="C32">
        <f t="shared" si="1"/>
        <v>1.55</v>
      </c>
      <c r="D32">
        <f t="shared" si="2"/>
        <v>1.5</v>
      </c>
      <c r="E32" t="str">
        <f t="shared" si="3"/>
        <v/>
      </c>
      <c r="F32">
        <f t="shared" si="4"/>
        <v>0.68800242222415975</v>
      </c>
      <c r="G32">
        <f t="shared" si="5"/>
        <v>0.81199757777584025</v>
      </c>
    </row>
    <row r="33" spans="1:7" x14ac:dyDescent="0.3">
      <c r="A33">
        <v>6.0405587598667694</v>
      </c>
      <c r="B33">
        <f t="shared" si="0"/>
        <v>32</v>
      </c>
      <c r="C33">
        <f t="shared" si="1"/>
        <v>1.6842105263157894</v>
      </c>
      <c r="D33">
        <f t="shared" si="2"/>
        <v>1.631578947368421</v>
      </c>
      <c r="E33" t="str">
        <f t="shared" si="3"/>
        <v/>
      </c>
      <c r="F33">
        <f t="shared" si="4"/>
        <v>0.70285890797013084</v>
      </c>
      <c r="G33">
        <f t="shared" si="5"/>
        <v>0.92872003939829018</v>
      </c>
    </row>
    <row r="34" spans="1:7" x14ac:dyDescent="0.3">
      <c r="A34">
        <v>3.6097333245140817</v>
      </c>
      <c r="B34">
        <f t="shared" si="0"/>
        <v>33</v>
      </c>
      <c r="C34">
        <f t="shared" si="1"/>
        <v>1.8333333333333333</v>
      </c>
      <c r="D34">
        <f t="shared" si="2"/>
        <v>1.7777777777777777</v>
      </c>
      <c r="E34" t="str">
        <f t="shared" si="3"/>
        <v/>
      </c>
      <c r="F34">
        <f t="shared" si="4"/>
        <v>0.71897586264640601</v>
      </c>
      <c r="G34">
        <f t="shared" si="5"/>
        <v>1.0588019151313717</v>
      </c>
    </row>
    <row r="35" spans="1:7" x14ac:dyDescent="0.3">
      <c r="A35">
        <v>4.5275847370184721</v>
      </c>
      <c r="B35">
        <f t="shared" si="0"/>
        <v>34</v>
      </c>
      <c r="C35">
        <f t="shared" si="1"/>
        <v>2</v>
      </c>
      <c r="D35">
        <f t="shared" si="2"/>
        <v>1.9411764705882353</v>
      </c>
      <c r="E35" t="str">
        <f t="shared" si="3"/>
        <v/>
      </c>
      <c r="F35">
        <f t="shared" si="4"/>
        <v>0.73647351106484404</v>
      </c>
      <c r="G35">
        <f t="shared" si="5"/>
        <v>1.2047029595233911</v>
      </c>
    </row>
    <row r="36" spans="1:7" x14ac:dyDescent="0.3">
      <c r="A36">
        <v>2.3944521626697508</v>
      </c>
      <c r="B36">
        <f t="shared" si="0"/>
        <v>35</v>
      </c>
      <c r="C36">
        <f t="shared" si="1"/>
        <v>2.1875</v>
      </c>
      <c r="D36">
        <f t="shared" si="2"/>
        <v>2.125</v>
      </c>
      <c r="E36" t="str">
        <f t="shared" si="3"/>
        <v/>
      </c>
      <c r="F36">
        <f t="shared" si="4"/>
        <v>0.75547135227539619</v>
      </c>
      <c r="G36">
        <f t="shared" si="5"/>
        <v>1.3695286477246038</v>
      </c>
    </row>
    <row r="37" spans="1:7" x14ac:dyDescent="0.3">
      <c r="A37">
        <v>2.1006634305524017</v>
      </c>
      <c r="B37">
        <f t="shared" si="0"/>
        <v>36</v>
      </c>
      <c r="C37">
        <f t="shared" si="1"/>
        <v>2.4</v>
      </c>
      <c r="D37">
        <f t="shared" si="2"/>
        <v>2.3333333333333335</v>
      </c>
      <c r="E37" t="str">
        <f t="shared" si="3"/>
        <v/>
      </c>
      <c r="F37">
        <f t="shared" si="4"/>
        <v>0.77607769444458996</v>
      </c>
      <c r="G37">
        <f t="shared" si="5"/>
        <v>1.5572556388887435</v>
      </c>
    </row>
    <row r="38" spans="1:7" x14ac:dyDescent="0.3">
      <c r="A38">
        <v>-1.7764319361967154</v>
      </c>
      <c r="B38">
        <f t="shared" si="0"/>
        <v>37</v>
      </c>
      <c r="C38">
        <f t="shared" si="1"/>
        <v>2.6428571428571428</v>
      </c>
      <c r="D38">
        <f t="shared" si="2"/>
        <v>2.5714285714285716</v>
      </c>
      <c r="E38" t="str">
        <f t="shared" si="3"/>
        <v/>
      </c>
      <c r="F38">
        <f t="shared" si="4"/>
        <v>0.79837140646157723</v>
      </c>
      <c r="G38">
        <f t="shared" si="5"/>
        <v>1.7730571649669944</v>
      </c>
    </row>
    <row r="39" spans="1:7" x14ac:dyDescent="0.3">
      <c r="A39">
        <v>0.55500775739777453</v>
      </c>
      <c r="B39">
        <f t="shared" si="0"/>
        <v>38</v>
      </c>
      <c r="C39">
        <f t="shared" si="1"/>
        <v>2.9230769230769229</v>
      </c>
      <c r="D39">
        <f t="shared" si="2"/>
        <v>2.8461538461538463</v>
      </c>
      <c r="E39" t="str">
        <f t="shared" si="3"/>
        <v/>
      </c>
      <c r="F39">
        <f t="shared" si="4"/>
        <v>0.82237116761060503</v>
      </c>
      <c r="G39">
        <f t="shared" si="5"/>
        <v>2.0237826785432413</v>
      </c>
    </row>
    <row r="40" spans="1:7" x14ac:dyDescent="0.3">
      <c r="A40">
        <v>0.3706046725154124</v>
      </c>
      <c r="B40">
        <f t="shared" si="0"/>
        <v>39</v>
      </c>
      <c r="C40">
        <f t="shared" si="1"/>
        <v>3.25</v>
      </c>
      <c r="D40">
        <f t="shared" si="2"/>
        <v>3.1666666666666665</v>
      </c>
      <c r="E40" t="str">
        <f t="shared" si="3"/>
        <v/>
      </c>
      <c r="F40">
        <f t="shared" si="4"/>
        <v>0.84798521368857427</v>
      </c>
      <c r="G40">
        <f t="shared" si="5"/>
        <v>2.3186814529780921</v>
      </c>
    </row>
    <row r="41" spans="1:7" x14ac:dyDescent="0.3">
      <c r="A41">
        <v>3.226012781983755</v>
      </c>
      <c r="B41">
        <f t="shared" si="0"/>
        <v>40</v>
      </c>
      <c r="C41">
        <f t="shared" si="1"/>
        <v>3.6363636363636362</v>
      </c>
      <c r="D41">
        <f t="shared" si="2"/>
        <v>3.5454545454545454</v>
      </c>
      <c r="E41" t="str">
        <f t="shared" si="3"/>
        <v/>
      </c>
      <c r="F41">
        <f t="shared" si="4"/>
        <v>0.87493220885482637</v>
      </c>
      <c r="G41">
        <f t="shared" si="5"/>
        <v>2.6705223365997188</v>
      </c>
    </row>
    <row r="42" spans="1:7" x14ac:dyDescent="0.3">
      <c r="A42">
        <v>4.1881995627379496</v>
      </c>
      <c r="B42">
        <f t="shared" si="0"/>
        <v>41</v>
      </c>
      <c r="C42">
        <f t="shared" si="1"/>
        <v>4.0999999999999996</v>
      </c>
      <c r="D42">
        <f t="shared" si="2"/>
        <v>4</v>
      </c>
      <c r="E42" t="str">
        <f t="shared" si="3"/>
        <v/>
      </c>
      <c r="F42">
        <f t="shared" si="4"/>
        <v>0.90262378246419894</v>
      </c>
      <c r="G42">
        <f t="shared" si="5"/>
        <v>3.0973762175358011</v>
      </c>
    </row>
    <row r="43" spans="1:7" x14ac:dyDescent="0.3">
      <c r="A43">
        <v>0.85090921552409782</v>
      </c>
      <c r="B43">
        <f t="shared" si="0"/>
        <v>42</v>
      </c>
      <c r="C43">
        <f t="shared" si="1"/>
        <v>4.666666666666667</v>
      </c>
      <c r="D43">
        <f t="shared" si="2"/>
        <v>4.5555555555555554</v>
      </c>
      <c r="E43" t="str">
        <f t="shared" si="3"/>
        <v/>
      </c>
      <c r="F43">
        <f t="shared" si="4"/>
        <v>0.93000914757422293</v>
      </c>
      <c r="G43">
        <f t="shared" si="5"/>
        <v>3.6255464079813322</v>
      </c>
    </row>
    <row r="44" spans="1:7" x14ac:dyDescent="0.3">
      <c r="A44">
        <v>0.50394762163001872</v>
      </c>
      <c r="B44">
        <f t="shared" si="0"/>
        <v>43</v>
      </c>
      <c r="C44">
        <f t="shared" si="1"/>
        <v>5.375</v>
      </c>
      <c r="D44">
        <f t="shared" si="2"/>
        <v>5.25</v>
      </c>
      <c r="E44" t="str">
        <f t="shared" si="3"/>
        <v/>
      </c>
      <c r="F44">
        <f t="shared" si="4"/>
        <v>0.95542263854561194</v>
      </c>
      <c r="G44">
        <f t="shared" si="5"/>
        <v>4.2945773614543885</v>
      </c>
    </row>
    <row r="45" spans="1:7" x14ac:dyDescent="0.3">
      <c r="A45">
        <v>-1.2927531862294046</v>
      </c>
      <c r="B45">
        <f>ROW()-1</f>
        <v>44</v>
      </c>
      <c r="C45">
        <f t="shared" si="1"/>
        <v>6.2857142857142856</v>
      </c>
      <c r="D45">
        <f t="shared" si="2"/>
        <v>6.1428571428571432</v>
      </c>
      <c r="E45" t="str">
        <f t="shared" si="3"/>
        <v/>
      </c>
      <c r="F45">
        <f t="shared" si="4"/>
        <v>0.97658817832229228</v>
      </c>
      <c r="G45">
        <f t="shared" si="5"/>
        <v>5.1662689645348507</v>
      </c>
    </row>
    <row r="46" spans="1:7" x14ac:dyDescent="0.3">
      <c r="A46">
        <v>-2.5029192345666047</v>
      </c>
      <c r="B46">
        <f t="shared" si="0"/>
        <v>45</v>
      </c>
      <c r="C46">
        <f t="shared" si="1"/>
        <v>7.5</v>
      </c>
      <c r="D46">
        <f t="shared" si="2"/>
        <v>7.333333333333333</v>
      </c>
      <c r="E46" t="str">
        <f t="shared" si="3"/>
        <v/>
      </c>
      <c r="F46">
        <f t="shared" si="4"/>
        <v>0.9911519555111219</v>
      </c>
      <c r="G46">
        <f t="shared" si="5"/>
        <v>6.3421813778222109</v>
      </c>
    </row>
    <row r="47" spans="1:7" x14ac:dyDescent="0.3">
      <c r="A47">
        <v>-3.5160554454595569</v>
      </c>
      <c r="B47">
        <f t="shared" si="0"/>
        <v>46</v>
      </c>
      <c r="C47">
        <f t="shared" si="1"/>
        <v>9.1999999999999993</v>
      </c>
      <c r="D47">
        <f t="shared" si="2"/>
        <v>9</v>
      </c>
      <c r="E47" t="str">
        <f t="shared" si="3"/>
        <v/>
      </c>
      <c r="F47">
        <f t="shared" si="4"/>
        <v>0.99819025788035731</v>
      </c>
      <c r="G47">
        <f t="shared" si="5"/>
        <v>8.0018097421196419</v>
      </c>
    </row>
    <row r="48" spans="1:7" x14ac:dyDescent="0.3">
      <c r="A48">
        <v>-6.0708384077805704</v>
      </c>
      <c r="B48">
        <f t="shared" si="0"/>
        <v>47</v>
      </c>
      <c r="C48">
        <f t="shared" si="1"/>
        <v>11.75</v>
      </c>
      <c r="D48">
        <f t="shared" si="2"/>
        <v>11.5</v>
      </c>
      <c r="E48" t="str">
        <f t="shared" si="3"/>
        <v/>
      </c>
      <c r="F48">
        <f t="shared" si="4"/>
        <v>0.99989880022212652</v>
      </c>
      <c r="G48">
        <f t="shared" si="5"/>
        <v>10.500101199777873</v>
      </c>
    </row>
    <row r="49" spans="1:7" x14ac:dyDescent="0.3">
      <c r="A49">
        <v>-4.4612185264403479</v>
      </c>
      <c r="B49">
        <f t="shared" si="0"/>
        <v>48</v>
      </c>
      <c r="C49">
        <f t="shared" si="1"/>
        <v>16</v>
      </c>
      <c r="D49">
        <f t="shared" si="2"/>
        <v>15.666666666666666</v>
      </c>
      <c r="E49" t="str">
        <f t="shared" si="3"/>
        <v/>
      </c>
      <c r="F49">
        <f t="shared" si="4"/>
        <v>0.99999979046909349</v>
      </c>
      <c r="G49">
        <f>ABS(F49-D49)</f>
        <v>14.666666876197572</v>
      </c>
    </row>
    <row r="50" spans="1:7" x14ac:dyDescent="0.3">
      <c r="A50">
        <v>-5.1503410156326197</v>
      </c>
      <c r="B50">
        <f t="shared" si="0"/>
        <v>49</v>
      </c>
      <c r="C50">
        <f t="shared" si="1"/>
        <v>24.5</v>
      </c>
      <c r="D50">
        <f t="shared" si="2"/>
        <v>24</v>
      </c>
      <c r="E50" t="str">
        <f t="shared" si="3"/>
        <v/>
      </c>
      <c r="F50">
        <f t="shared" si="4"/>
        <v>0.99999999999999534</v>
      </c>
      <c r="G50">
        <f t="shared" si="5"/>
        <v>23.000000000000004</v>
      </c>
    </row>
    <row r="51" spans="1:7" x14ac:dyDescent="0.3">
      <c r="A51">
        <v>-5.3995644814110904</v>
      </c>
      <c r="B51">
        <f t="shared" si="0"/>
        <v>50</v>
      </c>
      <c r="C51">
        <f t="shared" si="1"/>
        <v>50</v>
      </c>
      <c r="D51">
        <f t="shared" si="2"/>
        <v>49</v>
      </c>
      <c r="E51" t="str">
        <f t="shared" si="3"/>
        <v/>
      </c>
      <c r="F51">
        <f t="shared" si="4"/>
        <v>1</v>
      </c>
      <c r="G51">
        <f t="shared" si="5"/>
        <v>48</v>
      </c>
    </row>
  </sheetData>
  <sortState xmlns:xlrd2="http://schemas.microsoft.com/office/spreadsheetml/2017/richdata2" ref="C2:C51">
    <sortCondition ref="C2:C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Set 1</vt:lpstr>
      <vt:lpstr>Data Set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2025-03-28T14:59:16Z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f9984150-8738-40dd-a2ef-8b1bce0f0b66</vt:lpwstr>
  </property>
</Properties>
</file>